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Questionnaire" sheetId="2" state="visible" r:id="rId4"/>
    <sheet name="Result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<sst xmlns="http://schemas.openxmlformats.org/spreadsheetml/2006/main" count="94" uniqueCount="76">
  <si>
    <t xml:space="preserve">Governance-as-Code Accelerator — Maturity Assessment Instrument</t>
  </si>
  <si>
    <t xml:space="preserve">Purpose</t>
  </si>
  <si>
    <t xml:space="preserve">Converts the source strategy report's telemetry/KPI matrix (COV, VPL, ARI, PDR, QVD, CC, APF, EAR, OCI, DOR, SMC, SDDR) into a scored, repeatable questionnaire. This is a deterministic instrument: the same answers on the Questionnaire sheet will always produce the same overall score and Wave recommendation on the Results sheet, regardless of which consultant runs it — this directly closes Gap 4 ("deterministic") in the offering gap analysis.</t>
  </si>
  <si>
    <t xml:space="preserve">How to use it</t>
  </si>
  <si>
    <t xml:space="preserve">1. Go to the Questionnaire sheet. For each of the 16 questions, pick a score from 0 (not in place / worst case) to 5 (fully mature / best case) using the dropdown in the Score column. These are the only cells you should edit. All scores ship pre-set to 0 as a placeholder so the workbook opens with a valid, error-free Wave 1 result — overwrite every row with the client's real answers before trusting the Results sheet.</t>
  </si>
  <si>
    <t xml:space="preserve">2. The Results sheet computes each dimension's subtotal and the overall maturity score automatically via formulas — do not hand-edit any cell there.</t>
  </si>
  <si>
    <t xml:space="preserve">3. The overall score is looked up against the Wave Thresholds table to recommend which of the 90-Day Roadmap's three Waves (see the source report, Section 4.7) the client should start in.</t>
  </si>
  <si>
    <t xml:space="preserve">Scope note</t>
  </si>
  <si>
    <t xml:space="preserve">Dimension weights (25% each by default) and the Wave thresholds (40 / 70) are starting defaults calibrated against the illustrative client in the source report, not an empirically derived industry standard — recalibrate them per client/industry if you have a better basis, and note that recalibration as a deliberate decision, not a silent edit.</t>
  </si>
  <si>
    <t xml:space="preserve">Related artifacts in this repo</t>
  </si>
  <si>
    <t xml:space="preserve">- governance-as-code/schemas/core10-and-31-attribute-framework.md — the metadata standard the "Siloed Metadata Coverage" question (Q4.2) is scored against.</t>
  </si>
  <si>
    <t xml:space="preserve">- offering/offering-overview.md, pricing-tiers.md — this assessment is typically run during Tier 1 (Assess &amp; Charter) to confirm which Wave/Tier mix to propose.</t>
  </si>
  <si>
    <t xml:space="preserve">Governance-as-Code Maturity Assessment — Questionnaire</t>
  </si>
  <si>
    <t xml:space="preserve">Score each question 0 (not in place) to 5 (fully mature). Edit only the yellow Score column.</t>
  </si>
  <si>
    <t xml:space="preserve">Dimension</t>
  </si>
  <si>
    <t xml:space="preserve">#</t>
  </si>
  <si>
    <t xml:space="preserve">Question</t>
  </si>
  <si>
    <t xml:space="preserve">Score (0-5)</t>
  </si>
  <si>
    <t xml:space="preserve">KPI Reference</t>
  </si>
  <si>
    <t xml:space="preserve">Operational &amp; Lifecycle Velocity</t>
  </si>
  <si>
    <t xml:space="preserve">Assets move from raw ingestion to a registered Gold product in days, not months.</t>
  </si>
  <si>
    <t xml:space="preserve">COV</t>
  </si>
  <si>
    <t xml:space="preserve">Contract/schema validation runs automatically in CI in well under a minute (vs. manual review).</t>
  </si>
  <si>
    <t xml:space="preserve">VPL</t>
  </si>
  <si>
    <t xml:space="preserve">New projects reuse existing Gold data products more often than they build new raw pipelines.</t>
  </si>
  <si>
    <t xml:space="preserve">ARI</t>
  </si>
  <si>
    <t xml:space="preserve">Business units are not routing around a central team's backlog to get data delivered.</t>
  </si>
  <si>
    <t xml:space="preserve">COV / Backlog</t>
  </si>
  <si>
    <t xml:space="preserve">Operational &amp; Lifecycle Velocity — Subtotal (0-100)</t>
  </si>
  <si>
    <t xml:space="preserve">Data Quality &amp; Stability</t>
  </si>
  <si>
    <t xml:space="preserve">Statistical drift monitoring (e.g. K-S test / PSI) runs automatically on ingestion, not just structural checks.</t>
  </si>
  <si>
    <t xml:space="preserve">PDR</t>
  </si>
  <si>
    <t xml:space="preserve">Anomalous data is automatically quarantined (Dead Letter Queue) rather than silently reaching dashboards.</t>
  </si>
  <si>
    <t xml:space="preserve">QVD</t>
  </si>
  <si>
    <t xml:space="preserve">Quarantined/failed payloads are typically resolved within hours, not days.</t>
  </si>
  <si>
    <t xml:space="preserve">Data contracts enforce schema completeness checks (e.g. all required source feeds present) in CI.</t>
  </si>
  <si>
    <t xml:space="preserve">CC</t>
  </si>
  <si>
    <t xml:space="preserve">Data Quality &amp; Stability — Subtotal (0-100)</t>
  </si>
  <si>
    <t xml:space="preserve">Security &amp; Dynamic Compliance</t>
  </si>
  <si>
    <t xml:space="preserve">Access control evaluates context (device, location, time, relationship) rather than static role lists only.</t>
  </si>
  <si>
    <t xml:space="preserve">APF</t>
  </si>
  <si>
    <t xml:space="preserve">Just-in-time, time-bound access grants are the norm rather than standing permanent permissions.</t>
  </si>
  <si>
    <t xml:space="preserve">EAR</t>
  </si>
  <si>
    <t xml:space="preserve">There are few or no manual Active Directory group mappings that bypass the central entitlement system.</t>
  </si>
  <si>
    <t xml:space="preserve">OCI</t>
  </si>
  <si>
    <t xml:space="preserve">Every policy decision and schema change is written to an immutable, auditable log.</t>
  </si>
  <si>
    <t xml:space="preserve">APF / OCI</t>
  </si>
  <si>
    <t xml:space="preserve">Security &amp; Dynamic Compliance — Subtotal (0-100)</t>
  </si>
  <si>
    <t xml:space="preserve">Departmental &amp; Accountability Maturity</t>
  </si>
  <si>
    <t xml:space="preserve">Data Owners approve or deny access requests within hours, not days.</t>
  </si>
  <si>
    <t xml:space="preserve">DOR</t>
  </si>
  <si>
    <t xml:space="preserve">Domain-managed data assets meet the Core 10 metadata attributes (see core10-and-31-attribute-framework.md).</t>
  </si>
  <si>
    <t xml:space="preserve">SMC</t>
  </si>
  <si>
    <t xml:space="preserve">Shadow spreadsheets / untracked database replicas are measurably shrinking month over month.</t>
  </si>
  <si>
    <t xml:space="preserve">SDDR</t>
  </si>
  <si>
    <t xml:space="preserve">A Hub-and-Spoke charter with clear voting/arbitration rules is signed and in active use.</t>
  </si>
  <si>
    <t xml:space="preserve">Charter</t>
  </si>
  <si>
    <t xml:space="preserve">Departmental &amp; Accountability Maturity — Subtotal (0-100)</t>
  </si>
  <si>
    <t xml:space="preserve">Governance-as-Code Maturity Assessment — Results</t>
  </si>
  <si>
    <t xml:space="preserve">All cells on this sheet are computed from the Questionnaire sheet — do not hand-edit.</t>
  </si>
  <si>
    <t xml:space="preserve">Subtotal (0-100)</t>
  </si>
  <si>
    <t xml:space="preserve">Weight</t>
  </si>
  <si>
    <t xml:space="preserve">Weighted Contribution</t>
  </si>
  <si>
    <t xml:space="preserve">Weight check (must equal 100%)</t>
  </si>
  <si>
    <t xml:space="preserve">Overall Maturity Score (0-100)</t>
  </si>
  <si>
    <t xml:space="preserve">Wave Thresholds (reference table — edit only to recalibrate)</t>
  </si>
  <si>
    <t xml:space="preserve">Min Score</t>
  </si>
  <si>
    <t xml:space="preserve">Wave</t>
  </si>
  <si>
    <t xml:space="preserve">Recommended Starting Point</t>
  </si>
  <si>
    <t xml:space="preserve">Wave 1</t>
  </si>
  <si>
    <t xml:space="preserve">Foundations, Roles &amp; Chartering (Days 1-30)</t>
  </si>
  <si>
    <t xml:space="preserve">Wave 2</t>
  </si>
  <si>
    <t xml:space="preserve">Mapping, Contracts &amp; Baseline Security (Days 31-60)</t>
  </si>
  <si>
    <t xml:space="preserve">Wave 3</t>
  </si>
  <si>
    <t xml:space="preserve">Automation &amp; Advanced Layers — PBAC &amp; JIT (Days 61-90)</t>
  </si>
  <si>
    <t xml:space="preserve">Recommended Starting Wave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</si>
</sst>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2B49"/>
      <name val="Arial"/>
      <family val="0"/>
      <charset val="1"/>
    </font>
    <font>
      <b val="true"/>
      <sz val="10"/>
      <color rgb="FF002B49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4A556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color rgb="FF002B49"/>
      <name val="Arial"/>
      <family val="0"/>
      <charset val="1"/>
    </font>
    <font>
      <b val="true"/>
      <sz val="12"/>
      <color rgb="FFB8860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2B49"/>
        <bgColor rgb="FF003300"/>
      </patternFill>
    </fill>
    <fill>
      <patternFill patternType="solid">
        <fgColor rgb="FFFFF2CC"/>
        <bgColor rgb="FFFFFFFF"/>
      </patternFill>
    </fill>
    <fill>
      <patternFill patternType="solid">
        <fgColor rgb="FFDCE6EC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CCCCC"/>
      <rgbColor rgb="FF808080"/>
      <rgbColor rgb="FF9999FF"/>
      <rgbColor rgb="FF993366"/>
      <rgbColor rgb="FFFFF2CC"/>
      <rgbColor rgb="FFDCE6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5568"/>
      <rgbColor rgb="FF969696"/>
      <rgbColor rgb="FF002B49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0"/>
  </cols>
  <sheetData>
    <row r="1" customFormat="false" ht="21.75" hidden="false" customHeight="true" outlineLevel="0" collapsed="false">
      <c r="A1" s="1" t="s">
        <v>0</v>
      </c>
    </row>
    <row r="2" customFormat="false" ht="7.5" hidden="false" customHeight="true" outlineLevel="0" collapsed="false"/>
    <row r="3" customFormat="false" ht="21.75" hidden="false" customHeight="true" outlineLevel="0" collapsed="false">
      <c r="A3" s="2" t="s">
        <v>1</v>
      </c>
    </row>
    <row r="4" customFormat="false" ht="33.75" hidden="false" customHeight="true" outlineLevel="0" collapsed="false">
      <c r="A4" s="3" t="s">
        <v>2</v>
      </c>
    </row>
    <row r="5" customFormat="false" ht="7.5" hidden="false" customHeight="true" outlineLevel="0" collapsed="false"/>
    <row r="6" customFormat="false" ht="21.75" hidden="false" customHeight="true" outlineLevel="0" collapsed="false">
      <c r="A6" s="2" t="s">
        <v>3</v>
      </c>
    </row>
    <row r="7" customFormat="false" ht="33.75" hidden="false" customHeight="true" outlineLevel="0" collapsed="false">
      <c r="A7" s="3" t="s">
        <v>4</v>
      </c>
    </row>
    <row r="8" customFormat="false" ht="33.75" hidden="false" customHeight="true" outlineLevel="0" collapsed="false">
      <c r="A8" s="3" t="s">
        <v>5</v>
      </c>
    </row>
    <row r="9" customFormat="false" ht="33.75" hidden="false" customHeight="true" outlineLevel="0" collapsed="false">
      <c r="A9" s="3" t="s">
        <v>6</v>
      </c>
    </row>
    <row r="10" customFormat="false" ht="7.5" hidden="false" customHeight="true" outlineLevel="0" collapsed="false"/>
    <row r="11" customFormat="false" ht="21.75" hidden="false" customHeight="true" outlineLevel="0" collapsed="false">
      <c r="A11" s="2" t="s">
        <v>7</v>
      </c>
    </row>
    <row r="12" customFormat="false" ht="33.75" hidden="false" customHeight="true" outlineLevel="0" collapsed="false">
      <c r="A12" s="3" t="s">
        <v>8</v>
      </c>
    </row>
    <row r="13" customFormat="false" ht="7.5" hidden="false" customHeight="true" outlineLevel="0" collapsed="false"/>
    <row r="14" customFormat="false" ht="21.75" hidden="false" customHeight="true" outlineLevel="0" collapsed="false">
      <c r="A14" s="2" t="s">
        <v>9</v>
      </c>
    </row>
    <row r="15" customFormat="false" ht="33.75" hidden="false" customHeight="true" outlineLevel="0" collapsed="false">
      <c r="A15" s="3" t="s">
        <v>10</v>
      </c>
    </row>
    <row r="16" customFormat="false" ht="33.75" hidden="false" customHeight="true" outlineLevel="0" collapsed="false">
      <c r="A16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"/>
    <col collapsed="false" customWidth="true" hidden="false" outlineLevel="0" max="3" min="3" style="0" width="62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4" t="s">
        <v>12</v>
      </c>
    </row>
    <row r="2" customFormat="false" ht="15" hidden="false" customHeight="false" outlineLevel="0" collapsed="false">
      <c r="A2" s="5" t="s">
        <v>13</v>
      </c>
    </row>
    <row r="4" customFormat="false" ht="15" hidden="false" customHeight="false" outlineLevel="0" collapsed="false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</row>
    <row r="5" customFormat="false" ht="27.75" hidden="false" customHeight="true" outlineLevel="0" collapsed="false">
      <c r="A5" s="7" t="s">
        <v>19</v>
      </c>
      <c r="B5" s="7" t="n">
        <v>1</v>
      </c>
      <c r="C5" s="8" t="s">
        <v>20</v>
      </c>
      <c r="D5" s="9" t="n">
        <v>0</v>
      </c>
      <c r="E5" s="7" t="s">
        <v>21</v>
      </c>
    </row>
    <row r="6" customFormat="false" ht="27.75" hidden="false" customHeight="true" outlineLevel="0" collapsed="false">
      <c r="A6" s="7" t="s">
        <v>19</v>
      </c>
      <c r="B6" s="7" t="n">
        <v>2</v>
      </c>
      <c r="C6" s="8" t="s">
        <v>22</v>
      </c>
      <c r="D6" s="9" t="n">
        <v>0</v>
      </c>
      <c r="E6" s="7" t="s">
        <v>23</v>
      </c>
    </row>
    <row r="7" customFormat="false" ht="27.75" hidden="false" customHeight="true" outlineLevel="0" collapsed="false">
      <c r="A7" s="7" t="s">
        <v>19</v>
      </c>
      <c r="B7" s="7" t="n">
        <v>3</v>
      </c>
      <c r="C7" s="8" t="s">
        <v>24</v>
      </c>
      <c r="D7" s="9" t="n">
        <v>0</v>
      </c>
      <c r="E7" s="7" t="s">
        <v>25</v>
      </c>
    </row>
    <row r="8" customFormat="false" ht="27.75" hidden="false" customHeight="true" outlineLevel="0" collapsed="false">
      <c r="A8" s="7" t="s">
        <v>19</v>
      </c>
      <c r="B8" s="7" t="n">
        <v>4</v>
      </c>
      <c r="C8" s="8" t="s">
        <v>26</v>
      </c>
      <c r="D8" s="9" t="n">
        <v>0</v>
      </c>
      <c r="E8" s="7" t="s">
        <v>27</v>
      </c>
    </row>
    <row r="9" customFormat="false" ht="15" hidden="false" customHeight="false" outlineLevel="0" collapsed="false">
      <c r="A9" s="10" t="s">
        <v>28</v>
      </c>
      <c r="B9" s="11"/>
      <c r="C9" s="11"/>
      <c r="D9" s="12" t="n">
        <f aca="false">AVERAGE(D5:D8)/5*100</f>
        <v>0</v>
      </c>
      <c r="E9" s="11"/>
    </row>
    <row r="11" customFormat="false" ht="27.75" hidden="false" customHeight="true" outlineLevel="0" collapsed="false">
      <c r="A11" s="7" t="s">
        <v>29</v>
      </c>
      <c r="B11" s="7" t="n">
        <v>5</v>
      </c>
      <c r="C11" s="8" t="s">
        <v>30</v>
      </c>
      <c r="D11" s="9" t="n">
        <v>0</v>
      </c>
      <c r="E11" s="7" t="s">
        <v>31</v>
      </c>
    </row>
    <row r="12" customFormat="false" ht="27.75" hidden="false" customHeight="true" outlineLevel="0" collapsed="false">
      <c r="A12" s="7" t="s">
        <v>29</v>
      </c>
      <c r="B12" s="7" t="n">
        <v>6</v>
      </c>
      <c r="C12" s="8" t="s">
        <v>32</v>
      </c>
      <c r="D12" s="9" t="n">
        <v>0</v>
      </c>
      <c r="E12" s="7" t="s">
        <v>33</v>
      </c>
    </row>
    <row r="13" customFormat="false" ht="27.75" hidden="false" customHeight="true" outlineLevel="0" collapsed="false">
      <c r="A13" s="7" t="s">
        <v>29</v>
      </c>
      <c r="B13" s="7" t="n">
        <v>7</v>
      </c>
      <c r="C13" s="8" t="s">
        <v>34</v>
      </c>
      <c r="D13" s="9" t="n">
        <v>0</v>
      </c>
      <c r="E13" s="7" t="s">
        <v>33</v>
      </c>
    </row>
    <row r="14" customFormat="false" ht="27.75" hidden="false" customHeight="true" outlineLevel="0" collapsed="false">
      <c r="A14" s="7" t="s">
        <v>29</v>
      </c>
      <c r="B14" s="7" t="n">
        <v>8</v>
      </c>
      <c r="C14" s="8" t="s">
        <v>35</v>
      </c>
      <c r="D14" s="9" t="n">
        <v>0</v>
      </c>
      <c r="E14" s="7" t="s">
        <v>36</v>
      </c>
    </row>
    <row r="15" customFormat="false" ht="15" hidden="false" customHeight="false" outlineLevel="0" collapsed="false">
      <c r="A15" s="10" t="s">
        <v>37</v>
      </c>
      <c r="B15" s="11"/>
      <c r="C15" s="11"/>
      <c r="D15" s="12" t="n">
        <f aca="false">AVERAGE(D11:D14)/5*100</f>
        <v>0</v>
      </c>
      <c r="E15" s="11"/>
    </row>
    <row r="17" customFormat="false" ht="27.75" hidden="false" customHeight="true" outlineLevel="0" collapsed="false">
      <c r="A17" s="7" t="s">
        <v>38</v>
      </c>
      <c r="B17" s="7" t="n">
        <v>9</v>
      </c>
      <c r="C17" s="8" t="s">
        <v>39</v>
      </c>
      <c r="D17" s="9" t="n">
        <v>0</v>
      </c>
      <c r="E17" s="7" t="s">
        <v>40</v>
      </c>
    </row>
    <row r="18" customFormat="false" ht="27.75" hidden="false" customHeight="true" outlineLevel="0" collapsed="false">
      <c r="A18" s="7" t="s">
        <v>38</v>
      </c>
      <c r="B18" s="7" t="n">
        <v>10</v>
      </c>
      <c r="C18" s="8" t="s">
        <v>41</v>
      </c>
      <c r="D18" s="9" t="n">
        <v>0</v>
      </c>
      <c r="E18" s="7" t="s">
        <v>42</v>
      </c>
    </row>
    <row r="19" customFormat="false" ht="27.75" hidden="false" customHeight="true" outlineLevel="0" collapsed="false">
      <c r="A19" s="7" t="s">
        <v>38</v>
      </c>
      <c r="B19" s="7" t="n">
        <v>11</v>
      </c>
      <c r="C19" s="8" t="s">
        <v>43</v>
      </c>
      <c r="D19" s="9" t="n">
        <v>0</v>
      </c>
      <c r="E19" s="7" t="s">
        <v>44</v>
      </c>
    </row>
    <row r="20" customFormat="false" ht="27.75" hidden="false" customHeight="true" outlineLevel="0" collapsed="false">
      <c r="A20" s="7" t="s">
        <v>38</v>
      </c>
      <c r="B20" s="7" t="n">
        <v>12</v>
      </c>
      <c r="C20" s="8" t="s">
        <v>45</v>
      </c>
      <c r="D20" s="9" t="n">
        <v>0</v>
      </c>
      <c r="E20" s="7" t="s">
        <v>46</v>
      </c>
    </row>
    <row r="21" customFormat="false" ht="15" hidden="false" customHeight="false" outlineLevel="0" collapsed="false">
      <c r="A21" s="10" t="s">
        <v>47</v>
      </c>
      <c r="B21" s="11"/>
      <c r="C21" s="11"/>
      <c r="D21" s="12" t="n">
        <f aca="false">AVERAGE(D17:D20)/5*100</f>
        <v>0</v>
      </c>
      <c r="E21" s="11"/>
    </row>
    <row r="23" customFormat="false" ht="27.75" hidden="false" customHeight="true" outlineLevel="0" collapsed="false">
      <c r="A23" s="7" t="s">
        <v>48</v>
      </c>
      <c r="B23" s="7" t="n">
        <v>13</v>
      </c>
      <c r="C23" s="8" t="s">
        <v>49</v>
      </c>
      <c r="D23" s="9" t="n">
        <v>0</v>
      </c>
      <c r="E23" s="7" t="s">
        <v>50</v>
      </c>
    </row>
    <row r="24" customFormat="false" ht="27.75" hidden="false" customHeight="true" outlineLevel="0" collapsed="false">
      <c r="A24" s="7" t="s">
        <v>48</v>
      </c>
      <c r="B24" s="7" t="n">
        <v>14</v>
      </c>
      <c r="C24" s="8" t="s">
        <v>51</v>
      </c>
      <c r="D24" s="9" t="n">
        <v>0</v>
      </c>
      <c r="E24" s="7" t="s">
        <v>52</v>
      </c>
    </row>
    <row r="25" customFormat="false" ht="27.75" hidden="false" customHeight="true" outlineLevel="0" collapsed="false">
      <c r="A25" s="7" t="s">
        <v>48</v>
      </c>
      <c r="B25" s="7" t="n">
        <v>15</v>
      </c>
      <c r="C25" s="8" t="s">
        <v>53</v>
      </c>
      <c r="D25" s="9" t="n">
        <v>0</v>
      </c>
      <c r="E25" s="7" t="s">
        <v>54</v>
      </c>
    </row>
    <row r="26" customFormat="false" ht="27.75" hidden="false" customHeight="true" outlineLevel="0" collapsed="false">
      <c r="A26" s="7" t="s">
        <v>48</v>
      </c>
      <c r="B26" s="7" t="n">
        <v>16</v>
      </c>
      <c r="C26" s="8" t="s">
        <v>55</v>
      </c>
      <c r="D26" s="9" t="n">
        <v>0</v>
      </c>
      <c r="E26" s="7" t="s">
        <v>56</v>
      </c>
    </row>
    <row r="27" customFormat="false" ht="15" hidden="false" customHeight="false" outlineLevel="0" collapsed="false">
      <c r="A27" s="10" t="s">
        <v>57</v>
      </c>
      <c r="B27" s="11"/>
      <c r="C27" s="11"/>
      <c r="D27" s="12" t="n">
        <f aca="false">AVERAGE(D23:D26)/5*100</f>
        <v>0</v>
      </c>
      <c r="E27" s="11"/>
    </row>
  </sheetData>
  <dataValidations count="1">
    <dataValidation allowBlank="true" error="Enter a whole number from 0 to 5." errorStyle="stop" errorTitle="Invalid score" operator="between" showDropDown="false" showErrorMessage="true" showInputMessage="false" sqref="D5:D27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4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4" t="s">
        <v>58</v>
      </c>
    </row>
    <row r="2" customFormat="false" ht="15" hidden="false" customHeight="false" outlineLevel="0" collapsed="false">
      <c r="A2" s="5" t="s">
        <v>59</v>
      </c>
    </row>
    <row r="4" customFormat="false" ht="15" hidden="false" customHeight="false" outlineLevel="0" collapsed="false">
      <c r="A4" s="13" t="s">
        <v>14</v>
      </c>
      <c r="B4" s="13" t="s">
        <v>60</v>
      </c>
      <c r="C4" s="13" t="s">
        <v>61</v>
      </c>
      <c r="D4" s="13" t="s">
        <v>62</v>
      </c>
    </row>
    <row r="5" customFormat="false" ht="15" hidden="false" customHeight="false" outlineLevel="0" collapsed="false">
      <c r="A5" s="7" t="s">
        <v>19</v>
      </c>
      <c r="B5" s="14" t="n">
        <f aca="false">Questionnaire!D9</f>
        <v>0</v>
      </c>
      <c r="C5" s="15" t="n">
        <v>0.25</v>
      </c>
      <c r="D5" s="14" t="n">
        <f aca="false">B5*C5</f>
        <v>0</v>
      </c>
    </row>
    <row r="6" customFormat="false" ht="15" hidden="false" customHeight="false" outlineLevel="0" collapsed="false">
      <c r="A6" s="7" t="s">
        <v>29</v>
      </c>
      <c r="B6" s="14" t="n">
        <f aca="false">Questionnaire!D15</f>
        <v>0</v>
      </c>
      <c r="C6" s="15" t="n">
        <v>0.25</v>
      </c>
      <c r="D6" s="14" t="n">
        <f aca="false">B6*C6</f>
        <v>0</v>
      </c>
    </row>
    <row r="7" customFormat="false" ht="15" hidden="false" customHeight="false" outlineLevel="0" collapsed="false">
      <c r="A7" s="7" t="s">
        <v>38</v>
      </c>
      <c r="B7" s="14" t="n">
        <f aca="false">Questionnaire!D21</f>
        <v>0</v>
      </c>
      <c r="C7" s="15" t="n">
        <v>0.25</v>
      </c>
      <c r="D7" s="14" t="n">
        <f aca="false">B7*C7</f>
        <v>0</v>
      </c>
    </row>
    <row r="8" customFormat="false" ht="15" hidden="false" customHeight="false" outlineLevel="0" collapsed="false">
      <c r="A8" s="7" t="s">
        <v>48</v>
      </c>
      <c r="B8" s="14" t="n">
        <f aca="false">Questionnaire!D27</f>
        <v>0</v>
      </c>
      <c r="C8" s="15" t="n">
        <v>0.25</v>
      </c>
      <c r="D8" s="14" t="n">
        <f aca="false">B8*C8</f>
        <v>0</v>
      </c>
    </row>
    <row r="9" customFormat="false" ht="15" hidden="false" customHeight="false" outlineLevel="0" collapsed="false">
      <c r="A9" s="7" t="s">
        <v>63</v>
      </c>
      <c r="B9" s="16"/>
      <c r="C9" s="17" t="n">
        <f aca="false">SUM(C5:C8)</f>
        <v>1</v>
      </c>
      <c r="D9" s="16"/>
    </row>
    <row r="11" customFormat="false" ht="15" hidden="false" customHeight="false" outlineLevel="0" collapsed="false">
      <c r="A11" s="18" t="s">
        <v>64</v>
      </c>
      <c r="B11" s="19" t="n">
        <f aca="false">SUMPRODUCT(B5:B8,C5:C8)</f>
        <v>0</v>
      </c>
    </row>
    <row r="13" customFormat="false" ht="15" hidden="false" customHeight="false" outlineLevel="0" collapsed="false">
      <c r="A13" s="20" t="s">
        <v>65</v>
      </c>
    </row>
    <row r="14" customFormat="false" ht="15" hidden="false" customHeight="false" outlineLevel="0" collapsed="false">
      <c r="A14" s="21" t="s">
        <v>66</v>
      </c>
      <c r="B14" s="21" t="s">
        <v>67</v>
      </c>
      <c r="C14" s="21" t="s">
        <v>68</v>
      </c>
    </row>
    <row r="15" customFormat="false" ht="15" hidden="false" customHeight="false" outlineLevel="0" collapsed="false">
      <c r="A15" s="7" t="n">
        <v>0</v>
      </c>
      <c r="B15" s="7" t="s">
        <v>69</v>
      </c>
      <c r="C15" s="7" t="s">
        <v>70</v>
      </c>
    </row>
    <row r="16" customFormat="false" ht="15" hidden="false" customHeight="false" outlineLevel="0" collapsed="false">
      <c r="A16" s="7" t="n">
        <v>40</v>
      </c>
      <c r="B16" s="7" t="s">
        <v>71</v>
      </c>
      <c r="C16" s="7" t="s">
        <v>72</v>
      </c>
    </row>
    <row r="17" customFormat="false" ht="15" hidden="false" customHeight="false" outlineLevel="0" collapsed="false">
      <c r="A17" s="7" t="n">
        <v>70</v>
      </c>
      <c r="B17" s="7" t="s">
        <v>73</v>
      </c>
      <c r="C17" s="7" t="s">
        <v>74</v>
      </c>
    </row>
    <row r="19" customFormat="false" ht="15" hidden="false" customHeight="false" outlineLevel="0" collapsed="false">
      <c r="A19" s="18" t="s">
        <v>75</v>
      </c>
      <c r="B19" s="22" t="str">
        <f aca="false">INDEX(B15:B17,MATCH(B11,A15:A17,1))&amp;" — "&amp;INDEX(C15:C17,MATCH(B11,A15:A17,1))</f>
        <v>Wave 1 — Foundations, Roles &amp; Chartering (Days 1-30)</v>
      </c>
      <c r="C19" s="22"/>
      <c r="D19" s="22"/>
    </row>
  </sheetData>
  <mergeCells count="1">
    <mergeCell ref="B19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2026-10-05T08:27:19Z</dcterms:created>
  <dc:creator>openpyxl</dc:creator>
  <dc:description/>
  <dc:language>en-US</dc:language>
  <cp:lastModifiedBy/>
  <dcterms:modified xsi:type="dcterms:W3CDTF">2026-10-05T08:27:19Z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