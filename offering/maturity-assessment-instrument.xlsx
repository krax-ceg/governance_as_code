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Maturity Whee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2B49"/>
      <sz val="16"/>
    </font>
    <font>
      <name val="Arial"/>
      <charset val="1"/>
      <family val="0"/>
      <b val="1"/>
      <color rgb="FF002B49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4A5568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002B49"/>
      <sz val="12"/>
    </font>
    <font>
      <name val="Arial"/>
      <charset val="1"/>
      <family val="0"/>
      <b val="1"/>
      <color rgb="FFB8860B"/>
      <sz val="12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FF002B49"/>
        <bgColor rgb="FF003300"/>
      </patternFill>
    </fill>
    <fill>
      <patternFill patternType="solid">
        <fgColor rgb="FFFFF2CC"/>
        <bgColor rgb="FFFFFFFF"/>
      </patternFill>
    </fill>
    <fill>
      <patternFill patternType="solid">
        <fgColor rgb="FFDCE6EC"/>
        <bgColor rgb="FFCCFF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bottom"/>
    </xf>
    <xf numFmtId="9" fontId="9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13" fillId="0" borderId="0" pivotButton="0" quotePrefix="0" xfId="0"/>
    <xf numFmtId="164" fontId="6" fillId="0" borderId="1" applyAlignment="1" pivotButton="0" quotePrefix="0" xfId="0">
      <alignment horizontal="center" vertical="bottom"/>
    </xf>
    <xf numFmtId="9" fontId="9" fillId="3" borderId="1" applyAlignment="1" pivotButton="0" quotePrefix="0" xfId="0">
      <alignment horizontal="center" vertical="bottom"/>
    </xf>
    <xf numFmtId="0" fontId="0" fillId="5" borderId="0" pivotButton="0" quotePrefix="0" xfId="0"/>
    <xf numFmtId="0" fontId="0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14" fillId="0" borderId="0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2CC"/>
      <rgbColor rgb="FFDCE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Wheel — Current vs. Target</a:t>
            </a:r>
          </a:p>
        </rich>
      </tx>
    </title>
    <plotArea>
      <radarChart>
        <radarStyle val="filled"/>
        <ser>
          <idx val="0"/>
          <order val="0"/>
          <tx>
            <strRef>
              <f>'Maturity Wheel'!B4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'Maturity Wheel'!$A$5:$A$8</f>
            </numRef>
          </cat>
          <val>
            <numRef>
              <f>'Maturity Wheel'!$B$5:$B$8</f>
            </numRef>
          </val>
        </ser>
        <ser>
          <idx val="1"/>
          <order val="1"/>
          <tx>
            <strRef>
              <f>'Maturity Wheel'!C4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'Maturity Wheel'!$A$5:$A$8</f>
            </numRef>
          </cat>
          <val>
            <numRef>
              <f>'Maturity Wheel'!$C$5:$C$8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0" customWidth="1" style="23" min="1" max="1"/>
  </cols>
  <sheetData>
    <row r="1" ht="21.75" customHeight="1" s="24">
      <c r="A1" s="25" t="inlineStr">
        <is>
          <t>Governance-as-Code Accelerator — Maturity Assessment Instrument</t>
        </is>
      </c>
    </row>
    <row r="2" ht="7.5" customHeight="1" s="24"/>
    <row r="3" ht="21.75" customHeight="1" s="24">
      <c r="A3" s="26" t="inlineStr">
        <is>
          <t>Purpose</t>
        </is>
      </c>
    </row>
    <row r="4" ht="33.75" customHeight="1" s="24">
      <c r="A4" s="27" t="inlineStr">
        <is>
          <t>Converts the source strategy report's telemetry/KPI matrix (COV, VPL, ARI, PDR, QVD, CC, APF, EAR, OCI, DOR, SMC, SDDR) into a scored, repeatable questionnaire. This is a deterministic instrument: the same answers on the Questionnaire sheet will always produce the same overall score and Wave recommendation on the Results sheet, regardless of which consultant runs it — this directly closes Gap 4 ("deterministic") in the offering gap analysis.</t>
        </is>
      </c>
    </row>
    <row r="5" ht="7.5" customHeight="1" s="24"/>
    <row r="6" ht="21.75" customHeight="1" s="24">
      <c r="A6" s="26" t="inlineStr">
        <is>
          <t>How to use it</t>
        </is>
      </c>
    </row>
    <row r="7" ht="33.75" customHeight="1" s="24">
      <c r="A7" s="27" t="inlineStr">
        <is>
          <t>1. Go to the Questionnaire sheet. For each of the 16 questions, pick a score from 0 (not in place / worst case) to 5 (fully mature / best case) using the dropdown in the Score column. These are the only cells you should edit. All scores ship pre-set to 0 as a placeholder so the workbook opens with a valid, error-free Wave 1 result — overwrite every row with the client's real answers before trusting the Results sheet.</t>
        </is>
      </c>
    </row>
    <row r="8" ht="33.75" customHeight="1" s="24">
      <c r="A8" s="27" t="inlineStr">
        <is>
          <t>2. The Results sheet computes each dimension's subtotal and the overall maturity score automatically via formulas — do not hand-edit any cell there.</t>
        </is>
      </c>
    </row>
    <row r="9" ht="33.75" customHeight="1" s="24">
      <c r="A9" s="27" t="inlineStr">
        <is>
          <t>3. The overall score is looked up against the Wave Thresholds table to recommend which of the 90-Day Roadmap's three Waves (see the source report, Section 4.7) the client should start in.</t>
        </is>
      </c>
    </row>
    <row r="10" ht="7.5" customHeight="1" s="24">
      <c r="A10" t="inlineStr">
        <is>
          <t>4. Set a Target score (0-100) per dimension on the Results sheet (defaults to 70 — the Wave 3 threshold — as a "fully automated" aspiration; recalibrate per client). The Maturity Wheel sheet plots Current vs. Target as a radar chart for live use in the workshop, alongside a representative activity per dimension to anchor the discussion.</t>
        </is>
      </c>
    </row>
    <row r="11" ht="21.75" customHeight="1" s="24">
      <c r="A11" s="26" t="inlineStr">
        <is>
          <t>Scope note</t>
        </is>
      </c>
    </row>
    <row r="12" ht="33.75" customHeight="1" s="24">
      <c r="A12" s="27" t="inlineStr">
        <is>
          <t>Dimension weights (25% each by default) and the Wave thresholds (40 / 70) are starting defaults calibrated against the illustrative client in the source report, not an empirically derived industry standard — recalibrate them per client/industry if you have a better basis, and note that recalibration as a deliberate decision, not a silent edit.</t>
        </is>
      </c>
    </row>
    <row r="13" ht="7.5" customHeight="1" s="24"/>
    <row r="14" ht="21.75" customHeight="1" s="24">
      <c r="A14" s="26" t="inlineStr">
        <is>
          <t>Related artifacts in this repo</t>
        </is>
      </c>
    </row>
    <row r="15" ht="33.75" customHeight="1" s="24">
      <c r="A15" s="27" t="inlineStr">
        <is>
          <t>- governance-as-code/schemas/core10-and-31-attribute-framework.md — the metadata standard the "Siloed Metadata Coverage" question (Q4.2) is scored against.</t>
        </is>
      </c>
    </row>
    <row r="16" ht="33.75" customHeight="1" s="24">
      <c r="A16" s="27" t="inlineStr">
        <is>
          <t>- offering/offering-overview.md, pricing-tiers.md — this assessment is typically run during Tier 1 (Assess &amp; Charter) to confirm which Wave/Tier mix to propose.</t>
        </is>
      </c>
    </row>
    <row r="17">
      <c r="A17" t="inlineStr">
        <is>
          <t>- governance-as-code/raci/ — the decision-rights matrix (RACI, DACI, or RAPID) chosen for the client feeds the "Hub-and-Spoke charter" question (Q4.4) and the Maturity Wheel discussion.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23" min="1" max="1"/>
    <col width="6" customWidth="1" style="23" min="2" max="2"/>
    <col width="62" customWidth="1" style="23" min="3" max="3"/>
    <col width="10" customWidth="1" style="23" min="4" max="4"/>
    <col width="14" customWidth="1" style="23" min="5" max="5"/>
  </cols>
  <sheetData>
    <row r="1" ht="19.7" customHeight="1" s="24">
      <c r="A1" s="28" t="inlineStr">
        <is>
          <t>Governance-as-Code Maturity Assessment — Questionnaire</t>
        </is>
      </c>
    </row>
    <row r="2" ht="15" customHeight="1" s="24">
      <c r="A2" s="29" t="inlineStr">
        <is>
          <t>Score each question 0 (not in place) to 5 (fully mature). Edit only the yellow Score column.</t>
        </is>
      </c>
    </row>
    <row r="4" ht="15" customHeight="1" s="24">
      <c r="A4" s="30" t="inlineStr">
        <is>
          <t>Dimension</t>
        </is>
      </c>
      <c r="B4" s="30" t="inlineStr">
        <is>
          <t>#</t>
        </is>
      </c>
      <c r="C4" s="30" t="inlineStr">
        <is>
          <t>Question</t>
        </is>
      </c>
      <c r="D4" s="30" t="inlineStr">
        <is>
          <t>Score (0-5)</t>
        </is>
      </c>
      <c r="E4" s="30" t="inlineStr">
        <is>
          <t>KPI Reference</t>
        </is>
      </c>
    </row>
    <row r="5" ht="27.75" customHeight="1" s="24">
      <c r="A5" s="31" t="inlineStr">
        <is>
          <t>Operational &amp; Lifecycle Velocity</t>
        </is>
      </c>
      <c r="B5" s="31" t="n">
        <v>1</v>
      </c>
      <c r="C5" s="32" t="inlineStr">
        <is>
          <t>Assets move from raw ingestion to a registered Gold product in days, not months.</t>
        </is>
      </c>
      <c r="D5" s="33" t="n">
        <v>0</v>
      </c>
      <c r="E5" s="31" t="inlineStr">
        <is>
          <t>COV</t>
        </is>
      </c>
    </row>
    <row r="6" ht="27.75" customHeight="1" s="24">
      <c r="A6" s="31" t="inlineStr">
        <is>
          <t>Operational &amp; Lifecycle Velocity</t>
        </is>
      </c>
      <c r="B6" s="31" t="n">
        <v>2</v>
      </c>
      <c r="C6" s="32" t="inlineStr">
        <is>
          <t>Contract/schema validation runs automatically in CI in well under a minute (vs. manual review).</t>
        </is>
      </c>
      <c r="D6" s="33" t="n">
        <v>0</v>
      </c>
      <c r="E6" s="31" t="inlineStr">
        <is>
          <t>VPL</t>
        </is>
      </c>
    </row>
    <row r="7" ht="27.75" customHeight="1" s="24">
      <c r="A7" s="31" t="inlineStr">
        <is>
          <t>Operational &amp; Lifecycle Velocity</t>
        </is>
      </c>
      <c r="B7" s="31" t="n">
        <v>3</v>
      </c>
      <c r="C7" s="32" t="inlineStr">
        <is>
          <t>New projects reuse existing Gold data products more often than they build new raw pipelines.</t>
        </is>
      </c>
      <c r="D7" s="33" t="n">
        <v>0</v>
      </c>
      <c r="E7" s="31" t="inlineStr">
        <is>
          <t>ARI</t>
        </is>
      </c>
    </row>
    <row r="8" ht="27.75" customHeight="1" s="24">
      <c r="A8" s="31" t="inlineStr">
        <is>
          <t>Operational &amp; Lifecycle Velocity</t>
        </is>
      </c>
      <c r="B8" s="31" t="n">
        <v>4</v>
      </c>
      <c r="C8" s="32" t="inlineStr">
        <is>
          <t>Business units are not routing around a central team's backlog to get data delivered.</t>
        </is>
      </c>
      <c r="D8" s="33" t="n">
        <v>0</v>
      </c>
      <c r="E8" s="31" t="inlineStr">
        <is>
          <t>COV / Backlog</t>
        </is>
      </c>
    </row>
    <row r="9" ht="15" customHeight="1" s="24">
      <c r="A9" s="34" t="inlineStr">
        <is>
          <t>Operational &amp; Lifecycle Velocity — Subtotal (0-100)</t>
        </is>
      </c>
      <c r="B9" s="35" t="n"/>
      <c r="C9" s="35" t="n"/>
      <c r="D9" s="36">
        <f>AVERAGE(D5:D8)/5*100</f>
        <v/>
      </c>
      <c r="E9" s="35" t="n"/>
    </row>
    <row r="11" ht="27.75" customHeight="1" s="24">
      <c r="A11" s="31" t="inlineStr">
        <is>
          <t>Data Quality &amp; Stability</t>
        </is>
      </c>
      <c r="B11" s="31" t="n">
        <v>5</v>
      </c>
      <c r="C11" s="32" t="inlineStr">
        <is>
          <t>Statistical drift monitoring (e.g. K-S test / PSI) runs automatically on ingestion, not just structural checks.</t>
        </is>
      </c>
      <c r="D11" s="33" t="n">
        <v>0</v>
      </c>
      <c r="E11" s="31" t="inlineStr">
        <is>
          <t>PDR</t>
        </is>
      </c>
    </row>
    <row r="12" ht="27.75" customHeight="1" s="24">
      <c r="A12" s="31" t="inlineStr">
        <is>
          <t>Data Quality &amp; Stability</t>
        </is>
      </c>
      <c r="B12" s="31" t="n">
        <v>6</v>
      </c>
      <c r="C12" s="32" t="inlineStr">
        <is>
          <t>Anomalous data is automatically quarantined (Dead Letter Queue) rather than silently reaching dashboards.</t>
        </is>
      </c>
      <c r="D12" s="33" t="n">
        <v>0</v>
      </c>
      <c r="E12" s="31" t="inlineStr">
        <is>
          <t>QVD</t>
        </is>
      </c>
    </row>
    <row r="13" ht="27.75" customHeight="1" s="24">
      <c r="A13" s="31" t="inlineStr">
        <is>
          <t>Data Quality &amp; Stability</t>
        </is>
      </c>
      <c r="B13" s="31" t="n">
        <v>7</v>
      </c>
      <c r="C13" s="32" t="inlineStr">
        <is>
          <t>Quarantined/failed payloads are typically resolved within hours, not days.</t>
        </is>
      </c>
      <c r="D13" s="33" t="n">
        <v>0</v>
      </c>
      <c r="E13" s="31" t="inlineStr">
        <is>
          <t>QVD</t>
        </is>
      </c>
    </row>
    <row r="14" ht="27.75" customHeight="1" s="24">
      <c r="A14" s="31" t="inlineStr">
        <is>
          <t>Data Quality &amp; Stability</t>
        </is>
      </c>
      <c r="B14" s="31" t="n">
        <v>8</v>
      </c>
      <c r="C14" s="32" t="inlineStr">
        <is>
          <t>Data contracts enforce schema completeness checks (e.g. all required source feeds present) in CI.</t>
        </is>
      </c>
      <c r="D14" s="33" t="n">
        <v>0</v>
      </c>
      <c r="E14" s="31" t="inlineStr">
        <is>
          <t>CC</t>
        </is>
      </c>
    </row>
    <row r="15" ht="15" customHeight="1" s="24">
      <c r="A15" s="34" t="inlineStr">
        <is>
          <t>Data Quality &amp; Stability — Subtotal (0-100)</t>
        </is>
      </c>
      <c r="B15" s="35" t="n"/>
      <c r="C15" s="35" t="n"/>
      <c r="D15" s="36">
        <f>AVERAGE(D11:D14)/5*100</f>
        <v/>
      </c>
      <c r="E15" s="35" t="n"/>
    </row>
    <row r="17" ht="27.75" customHeight="1" s="24">
      <c r="A17" s="31" t="inlineStr">
        <is>
          <t>Security &amp; Dynamic Compliance</t>
        </is>
      </c>
      <c r="B17" s="31" t="n">
        <v>9</v>
      </c>
      <c r="C17" s="32" t="inlineStr">
        <is>
          <t>Access control evaluates context (device, location, time, relationship) rather than static role lists only.</t>
        </is>
      </c>
      <c r="D17" s="33" t="n">
        <v>0</v>
      </c>
      <c r="E17" s="31" t="inlineStr">
        <is>
          <t>APF</t>
        </is>
      </c>
    </row>
    <row r="18" ht="27.75" customHeight="1" s="24">
      <c r="A18" s="31" t="inlineStr">
        <is>
          <t>Security &amp; Dynamic Compliance</t>
        </is>
      </c>
      <c r="B18" s="31" t="n">
        <v>10</v>
      </c>
      <c r="C18" s="32" t="inlineStr">
        <is>
          <t>Just-in-time, time-bound access grants are the norm rather than standing permanent permissions.</t>
        </is>
      </c>
      <c r="D18" s="33" t="n">
        <v>0</v>
      </c>
      <c r="E18" s="31" t="inlineStr">
        <is>
          <t>EAR</t>
        </is>
      </c>
    </row>
    <row r="19" ht="27.75" customHeight="1" s="24">
      <c r="A19" s="31" t="inlineStr">
        <is>
          <t>Security &amp; Dynamic Compliance</t>
        </is>
      </c>
      <c r="B19" s="31" t="n">
        <v>11</v>
      </c>
      <c r="C19" s="32" t="inlineStr">
        <is>
          <t>There are few or no manual Active Directory group mappings that bypass the central entitlement system.</t>
        </is>
      </c>
      <c r="D19" s="33" t="n">
        <v>0</v>
      </c>
      <c r="E19" s="31" t="inlineStr">
        <is>
          <t>OCI</t>
        </is>
      </c>
    </row>
    <row r="20" ht="27.75" customHeight="1" s="24">
      <c r="A20" s="31" t="inlineStr">
        <is>
          <t>Security &amp; Dynamic Compliance</t>
        </is>
      </c>
      <c r="B20" s="31" t="n">
        <v>12</v>
      </c>
      <c r="C20" s="32" t="inlineStr">
        <is>
          <t>Every policy decision and schema change is written to an immutable, auditable log.</t>
        </is>
      </c>
      <c r="D20" s="33" t="n">
        <v>0</v>
      </c>
      <c r="E20" s="31" t="inlineStr">
        <is>
          <t>APF / OCI</t>
        </is>
      </c>
    </row>
    <row r="21" ht="15" customHeight="1" s="24">
      <c r="A21" s="34" t="inlineStr">
        <is>
          <t>Security &amp; Dynamic Compliance — Subtotal (0-100)</t>
        </is>
      </c>
      <c r="B21" s="35" t="n"/>
      <c r="C21" s="35" t="n"/>
      <c r="D21" s="36">
        <f>AVERAGE(D17:D20)/5*100</f>
        <v/>
      </c>
      <c r="E21" s="35" t="n"/>
    </row>
    <row r="23" ht="27.75" customHeight="1" s="24">
      <c r="A23" s="31" t="inlineStr">
        <is>
          <t>Departmental &amp; Accountability Maturity</t>
        </is>
      </c>
      <c r="B23" s="31" t="n">
        <v>13</v>
      </c>
      <c r="C23" s="32" t="inlineStr">
        <is>
          <t>Data Owners approve or deny access requests within hours, not days.</t>
        </is>
      </c>
      <c r="D23" s="33" t="n">
        <v>0</v>
      </c>
      <c r="E23" s="31" t="inlineStr">
        <is>
          <t>DOR</t>
        </is>
      </c>
    </row>
    <row r="24" ht="27.75" customHeight="1" s="24">
      <c r="A24" s="31" t="inlineStr">
        <is>
          <t>Departmental &amp; Accountability Maturity</t>
        </is>
      </c>
      <c r="B24" s="31" t="n">
        <v>14</v>
      </c>
      <c r="C24" s="32" t="inlineStr">
        <is>
          <t>Domain-managed data assets meet the Core 10 metadata attributes (see core10-and-31-attribute-framework.md).</t>
        </is>
      </c>
      <c r="D24" s="33" t="n">
        <v>0</v>
      </c>
      <c r="E24" s="31" t="inlineStr">
        <is>
          <t>SMC</t>
        </is>
      </c>
    </row>
    <row r="25" ht="27.75" customHeight="1" s="24">
      <c r="A25" s="31" t="inlineStr">
        <is>
          <t>Departmental &amp; Accountability Maturity</t>
        </is>
      </c>
      <c r="B25" s="31" t="n">
        <v>15</v>
      </c>
      <c r="C25" s="32" t="inlineStr">
        <is>
          <t>Shadow spreadsheets / untracked database replicas are measurably shrinking month over month.</t>
        </is>
      </c>
      <c r="D25" s="33" t="n">
        <v>0</v>
      </c>
      <c r="E25" s="31" t="inlineStr">
        <is>
          <t>SDDR</t>
        </is>
      </c>
    </row>
    <row r="26" ht="27.75" customHeight="1" s="24">
      <c r="A26" s="31" t="inlineStr">
        <is>
          <t>Departmental &amp; Accountability Maturity</t>
        </is>
      </c>
      <c r="B26" s="31" t="n">
        <v>16</v>
      </c>
      <c r="C26" s="32" t="inlineStr">
        <is>
          <t>A Hub-and-Spoke charter with clear voting/arbitration rules is signed and in active use.</t>
        </is>
      </c>
      <c r="D26" s="33" t="n">
        <v>0</v>
      </c>
      <c r="E26" s="31" t="inlineStr">
        <is>
          <t>Charter</t>
        </is>
      </c>
    </row>
    <row r="27" ht="15" customHeight="1" s="24">
      <c r="A27" s="34" t="inlineStr">
        <is>
          <t>Departmental &amp; Accountability Maturity — Subtotal (0-100)</t>
        </is>
      </c>
      <c r="B27" s="35" t="n"/>
      <c r="C27" s="35" t="n"/>
      <c r="D27" s="36">
        <f>AVERAGE(D23:D26)/5*100</f>
        <v/>
      </c>
      <c r="E27" s="35" t="n"/>
    </row>
  </sheetData>
  <dataValidations count="1">
    <dataValidation sqref="D5:D27" showDropDown="0" showInputMessage="0" showErrorMessage="1" allowBlank="1" errorTitle="Invalid score" error="Enter a whole number from 0 to 5." type="list" errorStyle="stop" operator="between">
      <formula1>"0,1,2,3,4,5"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8" customWidth="1" style="23" min="1" max="1"/>
    <col width="14" customWidth="1" style="23" min="2" max="3"/>
    <col width="46" customWidth="1" style="23" min="4" max="4"/>
  </cols>
  <sheetData>
    <row r="1" ht="19.7" customHeight="1" s="24">
      <c r="A1" s="28" t="inlineStr">
        <is>
          <t>Governance-as-Code Maturity Assessment — Results</t>
        </is>
      </c>
    </row>
    <row r="2" ht="15" customHeight="1" s="24">
      <c r="A2" s="29" t="inlineStr">
        <is>
          <t>All cells on this sheet are computed from the Questionnaire sheet — do not hand-edit.</t>
        </is>
      </c>
    </row>
    <row r="4" ht="15" customHeight="1" s="24">
      <c r="A4" s="37" t="inlineStr">
        <is>
          <t>Dimension</t>
        </is>
      </c>
      <c r="B4" s="37" t="inlineStr">
        <is>
          <t>Subtotal (0-100)</t>
        </is>
      </c>
      <c r="C4" s="37" t="inlineStr">
        <is>
          <t>Weight</t>
        </is>
      </c>
      <c r="D4" s="37" t="inlineStr">
        <is>
          <t>Weighted Contribution</t>
        </is>
      </c>
      <c r="E4" s="38" t="inlineStr">
        <is>
          <t>Target (0-100)</t>
        </is>
      </c>
    </row>
    <row r="5" ht="15" customHeight="1" s="24">
      <c r="A5" s="31" t="inlineStr">
        <is>
          <t>Operational &amp; Lifecycle Velocity</t>
        </is>
      </c>
      <c r="B5" s="39">
        <f>Questionnaire!D9</f>
        <v/>
      </c>
      <c r="C5" s="40" t="n">
        <v>0.25</v>
      </c>
      <c r="D5" s="39">
        <f>B5*C5</f>
        <v/>
      </c>
      <c r="E5" s="41" t="n">
        <v>70</v>
      </c>
    </row>
    <row r="6" ht="15" customHeight="1" s="24">
      <c r="A6" s="31" t="inlineStr">
        <is>
          <t>Data Quality &amp; Stability</t>
        </is>
      </c>
      <c r="B6" s="39">
        <f>Questionnaire!D15</f>
        <v/>
      </c>
      <c r="C6" s="40" t="n">
        <v>0.25</v>
      </c>
      <c r="D6" s="39">
        <f>B6*C6</f>
        <v/>
      </c>
      <c r="E6" s="41" t="n">
        <v>70</v>
      </c>
    </row>
    <row r="7" ht="15" customHeight="1" s="24">
      <c r="A7" s="31" t="inlineStr">
        <is>
          <t>Security &amp; Dynamic Compliance</t>
        </is>
      </c>
      <c r="B7" s="39">
        <f>Questionnaire!D21</f>
        <v/>
      </c>
      <c r="C7" s="40" t="n">
        <v>0.25</v>
      </c>
      <c r="D7" s="39">
        <f>B7*C7</f>
        <v/>
      </c>
      <c r="E7" s="41" t="n">
        <v>70</v>
      </c>
    </row>
    <row r="8" ht="15" customHeight="1" s="24">
      <c r="A8" s="31" t="inlineStr">
        <is>
          <t>Departmental &amp; Accountability Maturity</t>
        </is>
      </c>
      <c r="B8" s="39">
        <f>Questionnaire!D27</f>
        <v/>
      </c>
      <c r="C8" s="40" t="n">
        <v>0.25</v>
      </c>
      <c r="D8" s="39">
        <f>B8*C8</f>
        <v/>
      </c>
      <c r="E8" s="41" t="n">
        <v>70</v>
      </c>
    </row>
    <row r="9" ht="15" customHeight="1" s="24">
      <c r="A9" s="31" t="inlineStr">
        <is>
          <t>Weight check (must equal 100%)</t>
        </is>
      </c>
      <c r="B9" s="42" t="n"/>
      <c r="C9" s="43">
        <f>SUM(C5:C8)</f>
        <v/>
      </c>
      <c r="D9" s="42" t="n"/>
    </row>
    <row r="11" ht="15" customHeight="1" s="24">
      <c r="A11" s="44" t="inlineStr">
        <is>
          <t>Overall Maturity Score (0-100)</t>
        </is>
      </c>
      <c r="B11" s="45">
        <f>SUMPRODUCT(B5:B8,C5:C8)</f>
        <v/>
      </c>
    </row>
    <row r="13" ht="15" customHeight="1" s="24">
      <c r="A13" s="46" t="inlineStr">
        <is>
          <t>Wave Thresholds (reference table — edit only to recalibrate)</t>
        </is>
      </c>
    </row>
    <row r="14" ht="15" customHeight="1" s="24">
      <c r="A14" s="47" t="inlineStr">
        <is>
          <t>Min Score</t>
        </is>
      </c>
      <c r="B14" s="47" t="inlineStr">
        <is>
          <t>Wave</t>
        </is>
      </c>
      <c r="C14" s="47" t="inlineStr">
        <is>
          <t>Recommended Starting Point</t>
        </is>
      </c>
    </row>
    <row r="15" ht="15" customHeight="1" s="24">
      <c r="A15" s="31" t="n">
        <v>0</v>
      </c>
      <c r="B15" s="31" t="inlineStr">
        <is>
          <t>Wave 1</t>
        </is>
      </c>
      <c r="C15" s="31" t="inlineStr">
        <is>
          <t>Foundations, Roles &amp; Chartering (Days 1-30)</t>
        </is>
      </c>
    </row>
    <row r="16" ht="15" customHeight="1" s="24">
      <c r="A16" s="31" t="n">
        <v>40</v>
      </c>
      <c r="B16" s="31" t="inlineStr">
        <is>
          <t>Wave 2</t>
        </is>
      </c>
      <c r="C16" s="31" t="inlineStr">
        <is>
          <t>Mapping, Contracts &amp; Baseline Security (Days 31-60)</t>
        </is>
      </c>
    </row>
    <row r="17" ht="15" customHeight="1" s="24">
      <c r="A17" s="31" t="n">
        <v>70</v>
      </c>
      <c r="B17" s="31" t="inlineStr">
        <is>
          <t>Wave 3</t>
        </is>
      </c>
      <c r="C17" s="31" t="inlineStr">
        <is>
          <t>Automation &amp; Advanced Layers — PBAC &amp; JIT (Days 61-90)</t>
        </is>
      </c>
    </row>
    <row r="19" ht="15" customHeight="1" s="24">
      <c r="A19" s="44" t="inlineStr">
        <is>
          <t>Recommended Starting Wave</t>
        </is>
      </c>
      <c r="B19" s="48">
        <f>INDEX(B15:B17,MATCH(B11,A15:A17,1))&amp;" — "&amp;INDEX(C15:C17,MATCH(B11,A15:A17,1))</f>
        <v/>
      </c>
    </row>
  </sheetData>
  <mergeCells count="1">
    <mergeCell ref="B19:D19"/>
  </mergeCells>
  <dataValidations count="1">
    <dataValidation sqref="E5 E6 E7 E8" showDropDown="0" showInputMessage="0" showErrorMessage="1" allowBlank="0" errorTitle="Invalid target" error="Target must be 0-100." type="whole" operator="between">
      <formula1>0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style="24" min="1" max="1"/>
    <col width="16" customWidth="1" style="24" min="2" max="2"/>
    <col width="16" customWidth="1" style="24" min="3" max="3"/>
    <col width="60" customWidth="1" style="24" min="4" max="4"/>
  </cols>
  <sheetData>
    <row r="1">
      <c r="A1" s="49" t="inlineStr">
        <is>
          <t>Governance-as-Code Maturity Assessment — Maturity Wheel</t>
        </is>
      </c>
    </row>
    <row r="2">
      <c r="A2" s="50" t="inlineStr">
        <is>
          <t>Current vs. target score per dimension, for live use in the workshop. Current and Target are pulled from the Results sheet — edit the Target column there, not here. The Activities column is a conversation-starter, not an exhaustive plan; use it to anchor the 'what gets us from here to target' discussion live with the client.</t>
        </is>
      </c>
    </row>
    <row r="4">
      <c r="A4" s="38" t="inlineStr">
        <is>
          <t>Dimension</t>
        </is>
      </c>
      <c r="B4" s="38" t="inlineStr">
        <is>
          <t>Current (0-100)</t>
        </is>
      </c>
      <c r="C4" s="38" t="inlineStr">
        <is>
          <t>Target (0-100)</t>
        </is>
      </c>
      <c r="D4" s="38" t="inlineStr">
        <is>
          <t>Representative Activity</t>
        </is>
      </c>
    </row>
    <row r="5">
      <c r="A5" t="inlineStr">
        <is>
          <t>Operational &amp; Lifecycle Velocity</t>
        </is>
      </c>
      <c r="B5">
        <f>Results!B5</f>
        <v/>
      </c>
      <c r="C5">
        <f>Results!E5</f>
        <v/>
      </c>
      <c r="D5" t="inlineStr">
        <is>
          <t>Move assets from raw ingestion to a registered Gold product in days, not months.</t>
        </is>
      </c>
    </row>
    <row r="6">
      <c r="A6" t="inlineStr">
        <is>
          <t>Data Quality &amp; Stability</t>
        </is>
      </c>
      <c r="B6">
        <f>Results!B6</f>
        <v/>
      </c>
      <c r="C6">
        <f>Results!E6</f>
        <v/>
      </c>
      <c r="D6" t="inlineStr">
        <is>
          <t>Automate statistical drift monitoring (K-S test / PSI) on ingestion, not just structural checks.</t>
        </is>
      </c>
    </row>
    <row r="7">
      <c r="A7" t="inlineStr">
        <is>
          <t>Security &amp; Dynamic Compliance</t>
        </is>
      </c>
      <c r="B7">
        <f>Results!B7</f>
        <v/>
      </c>
      <c r="C7">
        <f>Results!E7</f>
        <v/>
      </c>
      <c r="D7" t="inlineStr">
        <is>
          <t>Move access control to evaluate context (device, location, time, relationship), not static role lists only.</t>
        </is>
      </c>
    </row>
    <row r="8">
      <c r="A8" t="inlineStr">
        <is>
          <t>Departmental &amp; Accountability Maturity</t>
        </is>
      </c>
      <c r="B8">
        <f>Results!B8</f>
        <v/>
      </c>
      <c r="C8">
        <f>Results!E8</f>
        <v/>
      </c>
      <c r="D8" t="inlineStr">
        <is>
          <t>Get Data Owners approving or denying access requests within hours, not days.</t>
        </is>
      </c>
    </row>
  </sheetData>
  <mergeCells count="1"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2026-10-05T08:27:19Z</dcterms:created>
  <dcterms:modified xmlns:dcterms="http://purl.org/dc/terms/" xmlns:xsi="http://www.w3.org/2001/XMLSchema-instance" xsi:type="dcterms:W3CDTF">2026-10-05T12:56:22Z</dcterms:modified>
  <cp:revision>0</cp:revision>
</cp:coreProperties>
</file>